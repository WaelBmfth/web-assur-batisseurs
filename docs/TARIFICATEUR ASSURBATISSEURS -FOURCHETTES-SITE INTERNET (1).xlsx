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02a22264f7dadbd/Desktop/TARIFICATEURS/SITE INTERNET/"/>
    </mc:Choice>
  </mc:AlternateContent>
  <xr:revisionPtr revIDLastSave="0" documentId="8_{404A6E97-8BDE-4A52-8860-23B1CA180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icateur Global BTP" sheetId="1" r:id="rId1"/>
  </sheets>
  <definedNames>
    <definedName name="_xlnm._FilterDatabase" localSheetId="0" hidden="1">'Tarificateur Global BTP'!$A$4:$E$8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D16" i="1"/>
  <c r="C16" i="1"/>
  <c r="D15" i="1"/>
  <c r="C15" i="1"/>
  <c r="D14" i="1"/>
  <c r="C14" i="1"/>
  <c r="D13" i="1"/>
  <c r="C13" i="1"/>
  <c r="C19" i="1" l="1"/>
  <c r="C21" i="1" s="1"/>
  <c r="D19" i="1"/>
  <c r="D21" i="1" s="1"/>
  <c r="C18" i="1"/>
  <c r="D18" i="1"/>
  <c r="A55" i="1" l="1"/>
  <c r="C20" i="1"/>
  <c r="C55" i="1"/>
  <c r="D20" i="1"/>
</calcChain>
</file>

<file path=xl/sharedStrings.xml><?xml version="1.0" encoding="utf-8"?>
<sst xmlns="http://schemas.openxmlformats.org/spreadsheetml/2006/main" count="274" uniqueCount="112">
  <si>
    <t>TARIFICATEUR ASSURANCE BTP &amp; CONCEPTION (FOURCHETTES AJUSTÉES)</t>
  </si>
  <si>
    <t>Cuisines seul</t>
  </si>
  <si>
    <t>0 à 250 000 €</t>
  </si>
  <si>
    <t>Second Œuvre / Agencement</t>
  </si>
  <si>
    <t>Simulation des Primes par Fourchettes TTC (Max 1 160 € pour le Point 1 / Max 2 154 € pour le Point 2)</t>
  </si>
  <si>
    <t>Plomberie seul</t>
  </si>
  <si>
    <t>Second Œuvre / Technique</t>
  </si>
  <si>
    <t>Installations thermiques seul</t>
  </si>
  <si>
    <t>Second Œuvre / CVC</t>
  </si>
  <si>
    <t>1. INFORMATIONS CLIENT &amp; SÉLECTION DU PROFIL / MÉTIER</t>
  </si>
  <si>
    <t>Calorifugeage seul</t>
  </si>
  <si>
    <t>Second Œuvre / Isolation</t>
  </si>
  <si>
    <t>Raison Sociale / Nom du Client :</t>
  </si>
  <si>
    <t>Entreprise Exemple</t>
  </si>
  <si>
    <t>2. BARÈME DES FRAIS ET OPTIONS</t>
  </si>
  <si>
    <t>Menuiserie intérieur / extérieur seul</t>
  </si>
  <si>
    <t>Second Œuvre / Fermetures</t>
  </si>
  <si>
    <t>Profil / Métier exercé (Menu unique) :</t>
  </si>
  <si>
    <t>Frais de courtage (1ère Année) :</t>
  </si>
  <si>
    <t>Plâtrerie / plaquiste / staff / stuc seul</t>
  </si>
  <si>
    <t>Second Œuvre / Finitions</t>
  </si>
  <si>
    <t>Chiffre d'Affaires Prévisionnel (€ HT) :</t>
  </si>
  <si>
    <t>Frais de courtage (2ème Année+) :</t>
  </si>
  <si>
    <t>Métallerie seul</t>
  </si>
  <si>
    <t>Second Œuvre / Structure légère</t>
  </si>
  <si>
    <t>Inclusion Protection Juridique (PJ) :</t>
  </si>
  <si>
    <t>Oui</t>
  </si>
  <si>
    <t>Option Protection Juridique (PJ) :</t>
  </si>
  <si>
    <t>Revêtement dur / souple seul</t>
  </si>
  <si>
    <t>Second Œuvre / Sols</t>
  </si>
  <si>
    <t>Serrurerie seul</t>
  </si>
  <si>
    <t>Vitrerie - miroiterie seul</t>
  </si>
  <si>
    <t>3. DÉCOMPTE DÉTAILLÉ DE LA COTISATION ET FOURCHETTES DE PRIX</t>
  </si>
  <si>
    <t>Isolation seul</t>
  </si>
  <si>
    <t>Poste de Facturation / Composante</t>
  </si>
  <si>
    <t>Détail / Formule</t>
  </si>
  <si>
    <t>1ère Année (€ TTC)</t>
  </si>
  <si>
    <t>Année Suivante (€ TTC)</t>
  </si>
  <si>
    <t>Explications &amp; Tranche CA</t>
  </si>
  <si>
    <t>Revêtement de façades seul</t>
  </si>
  <si>
    <t>Second Œuvre / Façades</t>
  </si>
  <si>
    <t>Tranche de CA couverte par le tarif</t>
  </si>
  <si>
    <t>Détection automatique</t>
  </si>
  <si>
    <t>Tranche de CA applicable au profil</t>
  </si>
  <si>
    <t>Aménagement seul</t>
  </si>
  <si>
    <t>Prime Assurance Minimale (Basse)</t>
  </si>
  <si>
    <t>Plancher de la fourchette</t>
  </si>
  <si>
    <t>Limite basse de la prime d'assurance TTC</t>
  </si>
  <si>
    <t>Maçon seul / Maçonnerie</t>
  </si>
  <si>
    <t>Gros Œuvre / Structure</t>
  </si>
  <si>
    <t>Prime Assurance Maximale (Haute)</t>
  </si>
  <si>
    <t>Plafond de la fourchette</t>
  </si>
  <si>
    <t>Limite haute de la prime d'assurance TTC (1 160 € ou 2 154 €)</t>
  </si>
  <si>
    <t>Couverture seul</t>
  </si>
  <si>
    <t>Option Protection Juridique (PJ)</t>
  </si>
  <si>
    <t>Si activée</t>
  </si>
  <si>
    <t>Charpente seul</t>
  </si>
  <si>
    <t>Frais de Courtage / Gestion de dossier</t>
  </si>
  <si>
    <t>Selon l'année</t>
  </si>
  <si>
    <t>450,00 € la 1ère année, 250,00 € la 2ème année et suivantes</t>
  </si>
  <si>
    <t>Étanchéité seul</t>
  </si>
  <si>
    <t>TOTAL BUDGET ANNUEL (Fourchette Basse)</t>
  </si>
  <si>
    <t>Prime Min + PJ + Courtage</t>
  </si>
  <si>
    <t>Cotisation annuelle globale estimée (Bas de fourchette)</t>
  </si>
  <si>
    <t>Terrassement / VRD seul</t>
  </si>
  <si>
    <t>Gros Œuvre / VRD</t>
  </si>
  <si>
    <t>TOTAL BUDGET ANNUEL (Fourchette Haute)</t>
  </si>
  <si>
    <t>Prime Max + PJ + Courtage</t>
  </si>
  <si>
    <t>Cotisation annuelle globale estimée (Haut de fourchette)</t>
  </si>
  <si>
    <t>Fumisterie seul</t>
  </si>
  <si>
    <t>Technique / Fumisterie</t>
  </si>
  <si>
    <t>Mensualité Indicative (Fourchette Basse)</t>
  </si>
  <si>
    <t>Total Bas / 12</t>
  </si>
  <si>
    <t>Mensualité indicative (Bas de fourchette)</t>
  </si>
  <si>
    <t>Photovoltaïque seul</t>
  </si>
  <si>
    <t>Énergie / Spécialité</t>
  </si>
  <si>
    <t>Mensualité Indicative (Fourchette Haute)</t>
  </si>
  <si>
    <t>Total Haut / 12</t>
  </si>
  <si>
    <t>Mensualité indicative (Haut de fourchette)</t>
  </si>
  <si>
    <t>Architecte d'intérieur (sans structure, seul)</t>
  </si>
  <si>
    <t>Conception seule / Aménagement</t>
  </si>
  <si>
    <t>Maître d'œuvre (seul)</t>
  </si>
  <si>
    <t>Conception / Coordination</t>
  </si>
  <si>
    <t>4. GRILLE RÉCAPITULATIVE DES FOURCHETTES PAR PROFIL (ASSURANCE SEULE TTC)</t>
  </si>
  <si>
    <t>Électricien seul</t>
  </si>
  <si>
    <t>0 à 50 000 €</t>
  </si>
  <si>
    <t>Profil / Métier sélectionnable</t>
  </si>
  <si>
    <t>Tranche CA couverte</t>
  </si>
  <si>
    <t>Fourchette Prime Assurance TTC</t>
  </si>
  <si>
    <t>Frais de Courtage (An 1 / An 2+)</t>
  </si>
  <si>
    <t>Protection Juridique</t>
  </si>
  <si>
    <t>Architecte avec suivi de travaux (seul)</t>
  </si>
  <si>
    <t>Conception &amp; Suivi de chantier</t>
  </si>
  <si>
    <t>444,00 € à 1 160,00 €</t>
  </si>
  <si>
    <t>450,00 € / 250,00 €</t>
  </si>
  <si>
    <t>296,00 € (Option)</t>
  </si>
  <si>
    <t>Paysagiste seul</t>
  </si>
  <si>
    <t>Espaces Verts / Aménagement</t>
  </si>
  <si>
    <t>Peinture seul</t>
  </si>
  <si>
    <t>Démolition seul</t>
  </si>
  <si>
    <t>Gros Œuvre / Préparation</t>
  </si>
  <si>
    <t>1 704,00 € à 2 154,00 €</t>
  </si>
  <si>
    <t>3 704,00 € à 4 249,00 €</t>
  </si>
  <si>
    <t>739,00 € à 800,00 €</t>
  </si>
  <si>
    <t>4 000,00 € à 4 499,00 €</t>
  </si>
  <si>
    <t>1 190,00 € à 1 490,00 €</t>
  </si>
  <si>
    <t>5. SYNTHÈSE DU BUDGET ANNUEL GLOBAL (AVEC FRAIS &amp; PJ)</t>
  </si>
  <si>
    <t>Fourchette Budget Année 1 (Création)</t>
  </si>
  <si>
    <t>Fourchette Budget Année 2+ (Renouvellement)</t>
  </si>
  <si>
    <t>Économie Courtage Année 2+</t>
  </si>
  <si>
    <t>200,00 €</t>
  </si>
  <si>
    <t>296,00 € TTC /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</si>
</sst>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1F4E79"/>
      <name val="Calibri"/>
    </font>
    <font>
      <i/>
      <sz val="9"/>
      <color rgb="FF595959"/>
      <name val="Calibri"/>
    </font>
    <font>
      <b/>
      <sz val="15"/>
      <color rgb="FF1F4E7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EEF5"/>
        <bgColor rgb="FFE8EEF5"/>
      </patternFill>
    </fill>
    <fill>
      <patternFill patternType="solid">
        <fgColor rgb="FFD9E1F2"/>
        <bgColor rgb="FFD9E1F2"/>
      </patternFill>
    </fill>
    <fill>
      <patternFill patternType="solid">
        <fgColor rgb="FFE9EFF7"/>
        <bgColor rgb="FFE9EF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4" fillId="4" borderId="0" xfId="0" applyFont="1" applyFill="1"/>
    <xf numFmtId="164" fontId="4" fillId="4" borderId="1" xfId="0" applyNumberFormat="1" applyFont="1" applyFill="1" applyBorder="1" applyAlignment="1">
      <alignment horizontal="right" vertical="center"/>
    </xf>
    <xf numFmtId="0" fontId="4" fillId="0" borderId="0" xfId="0" applyFont="1"/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0" fontId="8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5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46" customWidth="1"/>
    <col min="2" max="2" width="44" customWidth="1"/>
    <col min="3" max="4" width="22" customWidth="1"/>
    <col min="5" max="5" width="54" customWidth="1"/>
  </cols>
  <sheetData>
    <row r="1" spans="1:12" ht="21" x14ac:dyDescent="0.35">
      <c r="A1" s="1" t="s">
        <v>0</v>
      </c>
      <c r="H1" t="s">
        <v>1</v>
      </c>
      <c r="I1" t="s">
        <v>2</v>
      </c>
      <c r="J1">
        <v>444</v>
      </c>
      <c r="K1">
        <v>1160</v>
      </c>
      <c r="L1" t="s">
        <v>3</v>
      </c>
    </row>
    <row r="2" spans="1:12" x14ac:dyDescent="0.25">
      <c r="A2" s="2" t="s">
        <v>4</v>
      </c>
      <c r="H2" t="s">
        <v>5</v>
      </c>
      <c r="I2" t="s">
        <v>2</v>
      </c>
      <c r="J2">
        <v>444</v>
      </c>
      <c r="K2">
        <v>1160</v>
      </c>
      <c r="L2" t="s">
        <v>6</v>
      </c>
    </row>
    <row r="3" spans="1:12" x14ac:dyDescent="0.25">
      <c r="H3" t="s">
        <v>7</v>
      </c>
      <c r="I3" t="s">
        <v>2</v>
      </c>
      <c r="J3">
        <v>444</v>
      </c>
      <c r="K3">
        <v>1160</v>
      </c>
      <c r="L3" t="s">
        <v>8</v>
      </c>
    </row>
    <row r="4" spans="1:12" ht="15.75" x14ac:dyDescent="0.25">
      <c r="A4" s="24" t="s">
        <v>9</v>
      </c>
      <c r="B4" s="25"/>
      <c r="C4" s="25"/>
      <c r="D4" s="25"/>
      <c r="E4" s="25"/>
      <c r="H4" t="s">
        <v>10</v>
      </c>
      <c r="I4" t="s">
        <v>2</v>
      </c>
      <c r="J4">
        <v>444</v>
      </c>
      <c r="K4">
        <v>1160</v>
      </c>
      <c r="L4" t="s">
        <v>11</v>
      </c>
    </row>
    <row r="5" spans="1:12" x14ac:dyDescent="0.25">
      <c r="A5" s="3" t="s">
        <v>12</v>
      </c>
      <c r="B5" s="4" t="s">
        <v>13</v>
      </c>
      <c r="D5" s="28" t="s">
        <v>14</v>
      </c>
      <c r="E5" s="25"/>
      <c r="H5" t="s">
        <v>15</v>
      </c>
      <c r="I5" t="s">
        <v>2</v>
      </c>
      <c r="J5">
        <v>444</v>
      </c>
      <c r="K5">
        <v>1160</v>
      </c>
      <c r="L5" t="s">
        <v>16</v>
      </c>
    </row>
    <row r="6" spans="1:12" x14ac:dyDescent="0.25">
      <c r="A6" s="3" t="s">
        <v>17</v>
      </c>
      <c r="B6" s="5" t="s">
        <v>79</v>
      </c>
      <c r="D6" s="6" t="s">
        <v>18</v>
      </c>
      <c r="E6" s="7">
        <v>450</v>
      </c>
      <c r="H6" t="s">
        <v>19</v>
      </c>
      <c r="I6" t="s">
        <v>2</v>
      </c>
      <c r="J6">
        <v>444</v>
      </c>
      <c r="K6">
        <v>1160</v>
      </c>
      <c r="L6" t="s">
        <v>20</v>
      </c>
    </row>
    <row r="7" spans="1:12" x14ac:dyDescent="0.25">
      <c r="A7" s="3" t="s">
        <v>21</v>
      </c>
      <c r="B7" s="8">
        <v>150000</v>
      </c>
      <c r="D7" s="6" t="s">
        <v>22</v>
      </c>
      <c r="E7" s="7">
        <v>250</v>
      </c>
      <c r="H7" t="s">
        <v>23</v>
      </c>
      <c r="I7" t="s">
        <v>2</v>
      </c>
      <c r="J7">
        <v>444</v>
      </c>
      <c r="K7">
        <v>1160</v>
      </c>
      <c r="L7" t="s">
        <v>24</v>
      </c>
    </row>
    <row r="8" spans="1:12" hidden="1" x14ac:dyDescent="0.25">
      <c r="A8" s="3" t="s">
        <v>25</v>
      </c>
      <c r="B8" s="5" t="s">
        <v>26</v>
      </c>
      <c r="D8" s="6" t="s">
        <v>27</v>
      </c>
      <c r="E8" s="7">
        <v>296</v>
      </c>
      <c r="H8" t="s">
        <v>28</v>
      </c>
      <c r="I8" t="s">
        <v>2</v>
      </c>
      <c r="J8">
        <v>444</v>
      </c>
      <c r="K8">
        <v>1160</v>
      </c>
      <c r="L8" t="s">
        <v>29</v>
      </c>
    </row>
    <row r="9" spans="1:12" x14ac:dyDescent="0.25">
      <c r="H9" t="s">
        <v>30</v>
      </c>
      <c r="I9" t="s">
        <v>2</v>
      </c>
      <c r="J9">
        <v>444</v>
      </c>
      <c r="K9">
        <v>1160</v>
      </c>
      <c r="L9" t="s">
        <v>16</v>
      </c>
    </row>
    <row r="10" spans="1:12" x14ac:dyDescent="0.25">
      <c r="H10" t="s">
        <v>31</v>
      </c>
      <c r="I10" t="s">
        <v>2</v>
      </c>
      <c r="J10">
        <v>444</v>
      </c>
      <c r="K10">
        <v>1160</v>
      </c>
      <c r="L10" t="s">
        <v>20</v>
      </c>
    </row>
    <row r="11" spans="1:12" ht="15.75" x14ac:dyDescent="0.25">
      <c r="A11" s="24" t="s">
        <v>32</v>
      </c>
      <c r="B11" s="25"/>
      <c r="C11" s="25"/>
      <c r="D11" s="25"/>
      <c r="E11" s="25"/>
      <c r="H11" t="s">
        <v>33</v>
      </c>
      <c r="I11" t="s">
        <v>2</v>
      </c>
      <c r="J11">
        <v>444</v>
      </c>
      <c r="K11">
        <v>1160</v>
      </c>
      <c r="L11" t="s">
        <v>20</v>
      </c>
    </row>
    <row r="12" spans="1:12" x14ac:dyDescent="0.25">
      <c r="A12" s="9" t="s">
        <v>34</v>
      </c>
      <c r="B12" s="9" t="s">
        <v>35</v>
      </c>
      <c r="C12" s="10" t="s">
        <v>36</v>
      </c>
      <c r="D12" s="10" t="s">
        <v>37</v>
      </c>
      <c r="E12" s="9" t="s">
        <v>38</v>
      </c>
      <c r="H12" t="s">
        <v>39</v>
      </c>
      <c r="I12" t="s">
        <v>2</v>
      </c>
      <c r="J12">
        <v>444</v>
      </c>
      <c r="K12">
        <v>1160</v>
      </c>
      <c r="L12" t="s">
        <v>40</v>
      </c>
    </row>
    <row r="13" spans="1:12" x14ac:dyDescent="0.25">
      <c r="A13" s="11" t="s">
        <v>41</v>
      </c>
      <c r="B13" s="12" t="s">
        <v>42</v>
      </c>
      <c r="C13" s="13" t="str">
        <f>VLOOKUP(B6, $H$1:$L$27, 2, FALSE)</f>
        <v>0 à 250 000 €</v>
      </c>
      <c r="D13" s="13" t="str">
        <f>VLOOKUP(B6, $H$1:$L$27, 2, FALSE)</f>
        <v>0 à 250 000 €</v>
      </c>
      <c r="E13" s="12" t="s">
        <v>43</v>
      </c>
      <c r="H13" t="s">
        <v>44</v>
      </c>
      <c r="I13" t="s">
        <v>2</v>
      </c>
      <c r="J13">
        <v>444</v>
      </c>
      <c r="K13">
        <v>1160</v>
      </c>
      <c r="L13" t="s">
        <v>3</v>
      </c>
    </row>
    <row r="14" spans="1:12" x14ac:dyDescent="0.25">
      <c r="A14" s="11" t="s">
        <v>45</v>
      </c>
      <c r="B14" s="12" t="s">
        <v>46</v>
      </c>
      <c r="C14" s="14">
        <f>VLOOKUP(B6, $H$1:$L$27, 3, FALSE)</f>
        <v>1704</v>
      </c>
      <c r="D14" s="14">
        <f>VLOOKUP(B6, $H$1:$L$27, 3, FALSE)</f>
        <v>1704</v>
      </c>
      <c r="E14" s="12" t="s">
        <v>47</v>
      </c>
      <c r="H14" t="s">
        <v>48</v>
      </c>
      <c r="I14" t="s">
        <v>2</v>
      </c>
      <c r="J14">
        <v>1704</v>
      </c>
      <c r="K14">
        <v>2154</v>
      </c>
      <c r="L14" t="s">
        <v>49</v>
      </c>
    </row>
    <row r="15" spans="1:12" x14ac:dyDescent="0.25">
      <c r="A15" s="11" t="s">
        <v>50</v>
      </c>
      <c r="B15" s="12" t="s">
        <v>51</v>
      </c>
      <c r="C15" s="14">
        <f>VLOOKUP(B6, $H$1:$L$27, 4, FALSE)</f>
        <v>2154</v>
      </c>
      <c r="D15" s="14">
        <f>VLOOKUP(B6, $H$1:$L$27, 4, FALSE)</f>
        <v>2154</v>
      </c>
      <c r="E15" s="12" t="s">
        <v>52</v>
      </c>
      <c r="H15" t="s">
        <v>53</v>
      </c>
      <c r="I15" t="s">
        <v>2</v>
      </c>
      <c r="J15">
        <v>1704</v>
      </c>
      <c r="K15">
        <v>2154</v>
      </c>
      <c r="L15" t="s">
        <v>49</v>
      </c>
    </row>
    <row r="16" spans="1:12" x14ac:dyDescent="0.25">
      <c r="A16" s="11" t="s">
        <v>54</v>
      </c>
      <c r="B16" s="12" t="s">
        <v>55</v>
      </c>
      <c r="C16" s="14">
        <f>IF($B$8="Oui",$E$8,0)</f>
        <v>296</v>
      </c>
      <c r="D16" s="14">
        <f>IF($B$8="Oui",$E$8,0)</f>
        <v>296</v>
      </c>
      <c r="E16" s="12" t="s">
        <v>111</v>
      </c>
      <c r="H16" t="s">
        <v>56</v>
      </c>
      <c r="I16" t="s">
        <v>2</v>
      </c>
      <c r="J16">
        <v>1704</v>
      </c>
      <c r="K16">
        <v>2154</v>
      </c>
      <c r="L16" t="s">
        <v>49</v>
      </c>
    </row>
    <row r="17" spans="1:12" x14ac:dyDescent="0.25">
      <c r="A17" s="11" t="s">
        <v>57</v>
      </c>
      <c r="B17" s="12" t="s">
        <v>58</v>
      </c>
      <c r="C17" s="14">
        <f>$E$6</f>
        <v>450</v>
      </c>
      <c r="D17" s="14">
        <f>$E$7</f>
        <v>250</v>
      </c>
      <c r="E17" s="12" t="s">
        <v>59</v>
      </c>
      <c r="H17" t="s">
        <v>60</v>
      </c>
      <c r="I17" t="s">
        <v>2</v>
      </c>
      <c r="J17">
        <v>1704</v>
      </c>
      <c r="K17">
        <v>2154</v>
      </c>
      <c r="L17" t="s">
        <v>49</v>
      </c>
    </row>
    <row r="18" spans="1:12" x14ac:dyDescent="0.25">
      <c r="A18" s="15" t="s">
        <v>61</v>
      </c>
      <c r="B18" s="12" t="s">
        <v>62</v>
      </c>
      <c r="C18" s="16">
        <f>SUM(C14,C16,C17)</f>
        <v>2450</v>
      </c>
      <c r="D18" s="16">
        <f>SUM(D14,D16,D17)</f>
        <v>2250</v>
      </c>
      <c r="E18" s="12" t="s">
        <v>63</v>
      </c>
      <c r="H18" t="s">
        <v>64</v>
      </c>
      <c r="I18" t="s">
        <v>2</v>
      </c>
      <c r="J18">
        <v>1704</v>
      </c>
      <c r="K18">
        <v>2154</v>
      </c>
      <c r="L18" t="s">
        <v>65</v>
      </c>
    </row>
    <row r="19" spans="1:12" x14ac:dyDescent="0.25">
      <c r="A19" s="15" t="s">
        <v>66</v>
      </c>
      <c r="B19" s="12" t="s">
        <v>67</v>
      </c>
      <c r="C19" s="16">
        <f>SUM(C15,C16,C17)</f>
        <v>2900</v>
      </c>
      <c r="D19" s="16">
        <f>SUM(D15,D16,D17)</f>
        <v>2700</v>
      </c>
      <c r="E19" s="12" t="s">
        <v>68</v>
      </c>
      <c r="H19" t="s">
        <v>69</v>
      </c>
      <c r="I19" t="s">
        <v>2</v>
      </c>
      <c r="J19">
        <v>1704</v>
      </c>
      <c r="K19">
        <v>2154</v>
      </c>
      <c r="L19" t="s">
        <v>70</v>
      </c>
    </row>
    <row r="20" spans="1:12" x14ac:dyDescent="0.25">
      <c r="A20" s="17" t="s">
        <v>71</v>
      </c>
      <c r="B20" s="12" t="s">
        <v>72</v>
      </c>
      <c r="C20" s="18">
        <f>C18/12</f>
        <v>204.16666666666666</v>
      </c>
      <c r="D20" s="18">
        <f>D18/12</f>
        <v>187.5</v>
      </c>
      <c r="E20" s="12" t="s">
        <v>73</v>
      </c>
      <c r="H20" t="s">
        <v>74</v>
      </c>
      <c r="I20" t="s">
        <v>2</v>
      </c>
      <c r="J20">
        <v>1704</v>
      </c>
      <c r="K20">
        <v>2154</v>
      </c>
      <c r="L20" t="s">
        <v>75</v>
      </c>
    </row>
    <row r="21" spans="1:12" x14ac:dyDescent="0.25">
      <c r="A21" s="17" t="s">
        <v>76</v>
      </c>
      <c r="B21" s="12" t="s">
        <v>77</v>
      </c>
      <c r="C21" s="18">
        <f>C19/12</f>
        <v>241.66666666666666</v>
      </c>
      <c r="D21" s="18">
        <f>D19/12</f>
        <v>225</v>
      </c>
      <c r="E21" s="12" t="s">
        <v>78</v>
      </c>
      <c r="H21" t="s">
        <v>79</v>
      </c>
      <c r="I21" t="s">
        <v>2</v>
      </c>
      <c r="J21">
        <v>1704</v>
      </c>
      <c r="K21">
        <v>2154</v>
      </c>
      <c r="L21" t="s">
        <v>80</v>
      </c>
    </row>
    <row r="22" spans="1:12" x14ac:dyDescent="0.25">
      <c r="H22" t="s">
        <v>81</v>
      </c>
      <c r="I22" t="s">
        <v>2</v>
      </c>
      <c r="J22">
        <v>3704</v>
      </c>
      <c r="K22">
        <v>4249</v>
      </c>
      <c r="L22" t="s">
        <v>82</v>
      </c>
    </row>
    <row r="23" spans="1:12" ht="15.75" x14ac:dyDescent="0.25">
      <c r="A23" s="24" t="s">
        <v>83</v>
      </c>
      <c r="B23" s="25"/>
      <c r="C23" s="25"/>
      <c r="D23" s="25"/>
      <c r="E23" s="25"/>
      <c r="H23" t="s">
        <v>84</v>
      </c>
      <c r="I23" t="s">
        <v>85</v>
      </c>
      <c r="J23">
        <v>739</v>
      </c>
      <c r="K23">
        <v>800</v>
      </c>
      <c r="L23" t="s">
        <v>6</v>
      </c>
    </row>
    <row r="24" spans="1:12" x14ac:dyDescent="0.25">
      <c r="A24" s="9" t="s">
        <v>86</v>
      </c>
      <c r="B24" s="10" t="s">
        <v>87</v>
      </c>
      <c r="C24" s="10" t="s">
        <v>88</v>
      </c>
      <c r="D24" s="9" t="s">
        <v>89</v>
      </c>
      <c r="E24" s="9" t="s">
        <v>90</v>
      </c>
      <c r="H24" t="s">
        <v>91</v>
      </c>
      <c r="I24" t="s">
        <v>2</v>
      </c>
      <c r="J24">
        <v>4000</v>
      </c>
      <c r="K24">
        <v>4499</v>
      </c>
      <c r="L24" t="s">
        <v>92</v>
      </c>
    </row>
    <row r="25" spans="1:12" x14ac:dyDescent="0.25">
      <c r="A25" s="19" t="s">
        <v>1</v>
      </c>
      <c r="B25" s="20" t="s">
        <v>2</v>
      </c>
      <c r="C25" s="21" t="s">
        <v>93</v>
      </c>
      <c r="D25" s="20" t="s">
        <v>94</v>
      </c>
      <c r="E25" s="20" t="s">
        <v>95</v>
      </c>
      <c r="H25" t="s">
        <v>96</v>
      </c>
      <c r="I25" t="s">
        <v>2</v>
      </c>
      <c r="J25">
        <v>1190</v>
      </c>
      <c r="K25">
        <v>1490</v>
      </c>
      <c r="L25" t="s">
        <v>97</v>
      </c>
    </row>
    <row r="26" spans="1:12" x14ac:dyDescent="0.25">
      <c r="A26" s="19" t="s">
        <v>5</v>
      </c>
      <c r="B26" s="20" t="s">
        <v>2</v>
      </c>
      <c r="C26" s="21" t="s">
        <v>93</v>
      </c>
      <c r="D26" s="20" t="s">
        <v>94</v>
      </c>
      <c r="E26" s="20" t="s">
        <v>95</v>
      </c>
      <c r="H26" t="s">
        <v>98</v>
      </c>
      <c r="I26" t="s">
        <v>2</v>
      </c>
      <c r="J26">
        <v>1190</v>
      </c>
      <c r="K26">
        <v>1490</v>
      </c>
      <c r="L26" t="s">
        <v>20</v>
      </c>
    </row>
    <row r="27" spans="1:12" x14ac:dyDescent="0.25">
      <c r="A27" s="19" t="s">
        <v>7</v>
      </c>
      <c r="B27" s="20" t="s">
        <v>2</v>
      </c>
      <c r="C27" s="21" t="s">
        <v>93</v>
      </c>
      <c r="D27" s="20" t="s">
        <v>94</v>
      </c>
      <c r="E27" s="20" t="s">
        <v>95</v>
      </c>
      <c r="H27" t="s">
        <v>99</v>
      </c>
      <c r="I27" t="s">
        <v>2</v>
      </c>
      <c r="J27">
        <v>1190</v>
      </c>
      <c r="K27">
        <v>1490</v>
      </c>
      <c r="L27" t="s">
        <v>100</v>
      </c>
    </row>
    <row r="28" spans="1:12" x14ac:dyDescent="0.25">
      <c r="A28" s="19" t="s">
        <v>10</v>
      </c>
      <c r="B28" s="20" t="s">
        <v>2</v>
      </c>
      <c r="C28" s="21" t="s">
        <v>93</v>
      </c>
      <c r="D28" s="20" t="s">
        <v>94</v>
      </c>
      <c r="E28" s="20" t="s">
        <v>95</v>
      </c>
    </row>
    <row r="29" spans="1:12" x14ac:dyDescent="0.25">
      <c r="A29" s="19" t="s">
        <v>15</v>
      </c>
      <c r="B29" s="20" t="s">
        <v>2</v>
      </c>
      <c r="C29" s="21" t="s">
        <v>93</v>
      </c>
      <c r="D29" s="20" t="s">
        <v>94</v>
      </c>
      <c r="E29" s="20" t="s">
        <v>95</v>
      </c>
    </row>
    <row r="30" spans="1:12" x14ac:dyDescent="0.25">
      <c r="A30" s="19" t="s">
        <v>19</v>
      </c>
      <c r="B30" s="20" t="s">
        <v>2</v>
      </c>
      <c r="C30" s="21" t="s">
        <v>93</v>
      </c>
      <c r="D30" s="20" t="s">
        <v>94</v>
      </c>
      <c r="E30" s="20" t="s">
        <v>95</v>
      </c>
    </row>
    <row r="31" spans="1:12" x14ac:dyDescent="0.25">
      <c r="A31" s="19" t="s">
        <v>23</v>
      </c>
      <c r="B31" s="20" t="s">
        <v>2</v>
      </c>
      <c r="C31" s="21" t="s">
        <v>93</v>
      </c>
      <c r="D31" s="20" t="s">
        <v>94</v>
      </c>
      <c r="E31" s="20" t="s">
        <v>95</v>
      </c>
    </row>
    <row r="32" spans="1:12" x14ac:dyDescent="0.25">
      <c r="A32" s="19" t="s">
        <v>28</v>
      </c>
      <c r="B32" s="20" t="s">
        <v>2</v>
      </c>
      <c r="C32" s="21" t="s">
        <v>93</v>
      </c>
      <c r="D32" s="20" t="s">
        <v>94</v>
      </c>
      <c r="E32" s="20" t="s">
        <v>95</v>
      </c>
    </row>
    <row r="33" spans="1:5" x14ac:dyDescent="0.25">
      <c r="A33" s="19" t="s">
        <v>30</v>
      </c>
      <c r="B33" s="20" t="s">
        <v>2</v>
      </c>
      <c r="C33" s="21" t="s">
        <v>93</v>
      </c>
      <c r="D33" s="20" t="s">
        <v>94</v>
      </c>
      <c r="E33" s="20" t="s">
        <v>95</v>
      </c>
    </row>
    <row r="34" spans="1:5" x14ac:dyDescent="0.25">
      <c r="A34" s="19" t="s">
        <v>31</v>
      </c>
      <c r="B34" s="20" t="s">
        <v>2</v>
      </c>
      <c r="C34" s="21" t="s">
        <v>93</v>
      </c>
      <c r="D34" s="20" t="s">
        <v>94</v>
      </c>
      <c r="E34" s="20" t="s">
        <v>95</v>
      </c>
    </row>
    <row r="35" spans="1:5" x14ac:dyDescent="0.25">
      <c r="A35" s="19" t="s">
        <v>33</v>
      </c>
      <c r="B35" s="20" t="s">
        <v>2</v>
      </c>
      <c r="C35" s="21" t="s">
        <v>93</v>
      </c>
      <c r="D35" s="20" t="s">
        <v>94</v>
      </c>
      <c r="E35" s="20" t="s">
        <v>95</v>
      </c>
    </row>
    <row r="36" spans="1:5" x14ac:dyDescent="0.25">
      <c r="A36" s="19" t="s">
        <v>39</v>
      </c>
      <c r="B36" s="20" t="s">
        <v>2</v>
      </c>
      <c r="C36" s="21" t="s">
        <v>93</v>
      </c>
      <c r="D36" s="20" t="s">
        <v>94</v>
      </c>
      <c r="E36" s="20" t="s">
        <v>95</v>
      </c>
    </row>
    <row r="37" spans="1:5" x14ac:dyDescent="0.25">
      <c r="A37" s="19" t="s">
        <v>44</v>
      </c>
      <c r="B37" s="20" t="s">
        <v>2</v>
      </c>
      <c r="C37" s="21" t="s">
        <v>93</v>
      </c>
      <c r="D37" s="20" t="s">
        <v>94</v>
      </c>
      <c r="E37" s="20" t="s">
        <v>95</v>
      </c>
    </row>
    <row r="38" spans="1:5" x14ac:dyDescent="0.25">
      <c r="A38" s="19" t="s">
        <v>48</v>
      </c>
      <c r="B38" s="20" t="s">
        <v>2</v>
      </c>
      <c r="C38" s="21" t="s">
        <v>101</v>
      </c>
      <c r="D38" s="20" t="s">
        <v>94</v>
      </c>
      <c r="E38" s="20" t="s">
        <v>95</v>
      </c>
    </row>
    <row r="39" spans="1:5" x14ac:dyDescent="0.25">
      <c r="A39" s="19" t="s">
        <v>53</v>
      </c>
      <c r="B39" s="20" t="s">
        <v>2</v>
      </c>
      <c r="C39" s="21" t="s">
        <v>101</v>
      </c>
      <c r="D39" s="20" t="s">
        <v>94</v>
      </c>
      <c r="E39" s="20" t="s">
        <v>95</v>
      </c>
    </row>
    <row r="40" spans="1:5" x14ac:dyDescent="0.25">
      <c r="A40" s="19" t="s">
        <v>56</v>
      </c>
      <c r="B40" s="20" t="s">
        <v>2</v>
      </c>
      <c r="C40" s="21" t="s">
        <v>101</v>
      </c>
      <c r="D40" s="20" t="s">
        <v>94</v>
      </c>
      <c r="E40" s="20" t="s">
        <v>95</v>
      </c>
    </row>
    <row r="41" spans="1:5" x14ac:dyDescent="0.25">
      <c r="A41" s="19" t="s">
        <v>60</v>
      </c>
      <c r="B41" s="20" t="s">
        <v>2</v>
      </c>
      <c r="C41" s="21" t="s">
        <v>101</v>
      </c>
      <c r="D41" s="20" t="s">
        <v>94</v>
      </c>
      <c r="E41" s="20" t="s">
        <v>95</v>
      </c>
    </row>
    <row r="42" spans="1:5" x14ac:dyDescent="0.25">
      <c r="A42" s="19" t="s">
        <v>64</v>
      </c>
      <c r="B42" s="20" t="s">
        <v>2</v>
      </c>
      <c r="C42" s="21" t="s">
        <v>101</v>
      </c>
      <c r="D42" s="20" t="s">
        <v>94</v>
      </c>
      <c r="E42" s="20" t="s">
        <v>95</v>
      </c>
    </row>
    <row r="43" spans="1:5" x14ac:dyDescent="0.25">
      <c r="A43" s="19" t="s">
        <v>69</v>
      </c>
      <c r="B43" s="20" t="s">
        <v>2</v>
      </c>
      <c r="C43" s="21" t="s">
        <v>101</v>
      </c>
      <c r="D43" s="20" t="s">
        <v>94</v>
      </c>
      <c r="E43" s="20" t="s">
        <v>95</v>
      </c>
    </row>
    <row r="44" spans="1:5" x14ac:dyDescent="0.25">
      <c r="A44" s="19" t="s">
        <v>74</v>
      </c>
      <c r="B44" s="20" t="s">
        <v>2</v>
      </c>
      <c r="C44" s="21" t="s">
        <v>101</v>
      </c>
      <c r="D44" s="20" t="s">
        <v>94</v>
      </c>
      <c r="E44" s="20" t="s">
        <v>95</v>
      </c>
    </row>
    <row r="45" spans="1:5" x14ac:dyDescent="0.25">
      <c r="A45" s="19" t="s">
        <v>79</v>
      </c>
      <c r="B45" s="20" t="s">
        <v>2</v>
      </c>
      <c r="C45" s="21" t="s">
        <v>101</v>
      </c>
      <c r="D45" s="20" t="s">
        <v>94</v>
      </c>
      <c r="E45" s="20" t="s">
        <v>95</v>
      </c>
    </row>
    <row r="46" spans="1:5" x14ac:dyDescent="0.25">
      <c r="A46" s="19" t="s">
        <v>81</v>
      </c>
      <c r="B46" s="20" t="s">
        <v>2</v>
      </c>
      <c r="C46" s="21" t="s">
        <v>102</v>
      </c>
      <c r="D46" s="20" t="s">
        <v>94</v>
      </c>
      <c r="E46" s="20" t="s">
        <v>95</v>
      </c>
    </row>
    <row r="47" spans="1:5" x14ac:dyDescent="0.25">
      <c r="A47" s="19" t="s">
        <v>84</v>
      </c>
      <c r="B47" s="20" t="s">
        <v>85</v>
      </c>
      <c r="C47" s="21" t="s">
        <v>103</v>
      </c>
      <c r="D47" s="20" t="s">
        <v>94</v>
      </c>
      <c r="E47" s="20" t="s">
        <v>95</v>
      </c>
    </row>
    <row r="48" spans="1:5" x14ac:dyDescent="0.25">
      <c r="A48" s="19" t="s">
        <v>91</v>
      </c>
      <c r="B48" s="20" t="s">
        <v>2</v>
      </c>
      <c r="C48" s="21" t="s">
        <v>104</v>
      </c>
      <c r="D48" s="20" t="s">
        <v>94</v>
      </c>
      <c r="E48" s="20" t="s">
        <v>95</v>
      </c>
    </row>
    <row r="49" spans="1:5" x14ac:dyDescent="0.25">
      <c r="A49" s="19" t="s">
        <v>96</v>
      </c>
      <c r="B49" s="20" t="s">
        <v>2</v>
      </c>
      <c r="C49" s="21" t="s">
        <v>105</v>
      </c>
      <c r="D49" s="20" t="s">
        <v>94</v>
      </c>
      <c r="E49" s="20" t="s">
        <v>95</v>
      </c>
    </row>
    <row r="50" spans="1:5" x14ac:dyDescent="0.25">
      <c r="A50" s="19" t="s">
        <v>98</v>
      </c>
      <c r="B50" s="20" t="s">
        <v>2</v>
      </c>
      <c r="C50" s="21" t="s">
        <v>105</v>
      </c>
      <c r="D50" s="20" t="s">
        <v>94</v>
      </c>
      <c r="E50" s="20" t="s">
        <v>95</v>
      </c>
    </row>
    <row r="51" spans="1:5" x14ac:dyDescent="0.25">
      <c r="A51" s="19" t="s">
        <v>99</v>
      </c>
      <c r="B51" s="20" t="s">
        <v>2</v>
      </c>
      <c r="C51" s="21" t="s">
        <v>105</v>
      </c>
      <c r="D51" s="20" t="s">
        <v>94</v>
      </c>
      <c r="E51" s="20" t="s">
        <v>95</v>
      </c>
    </row>
    <row r="53" spans="1:5" ht="15.75" x14ac:dyDescent="0.25">
      <c r="A53" s="24" t="s">
        <v>106</v>
      </c>
      <c r="B53" s="25"/>
      <c r="C53" s="25"/>
      <c r="D53" s="25"/>
      <c r="E53" s="25"/>
    </row>
    <row r="54" spans="1:5" x14ac:dyDescent="0.25">
      <c r="A54" s="26" t="s">
        <v>107</v>
      </c>
      <c r="B54" s="27"/>
      <c r="C54" s="26" t="s">
        <v>108</v>
      </c>
      <c r="D54" s="27"/>
      <c r="E54" s="22" t="s">
        <v>109</v>
      </c>
    </row>
    <row r="55" spans="1:5" ht="19.5" x14ac:dyDescent="0.25">
      <c r="A55" s="29" t="str">
        <f>TEXT(C18, "# ##0,00 €") &amp; " à " &amp; TEXT(C19, "# ##0,00 €")</f>
        <v>2 450,00 € à 2 900,00 €</v>
      </c>
      <c r="B55" s="27"/>
      <c r="C55" s="29" t="str">
        <f>TEXT(D18, "# ##0,00 €") &amp; " à " &amp; TEXT(D19, "# ##0,00 €")</f>
        <v>2 250,00 € à 2 700,00 €</v>
      </c>
      <c r="D55" s="27"/>
      <c r="E55" s="23" t="s">
        <v>110</v>
      </c>
    </row>
  </sheetData>
  <autoFilter ref="A4:E8" xr:uid="{00000000-0001-0000-0000-000000000000}">
    <filterColumn colId="0" showButton="0">
      <filters>
        <filter val="Chiffre d'Affaires Prévisionnel (€ HT) :"/>
        <filter val="Profil / Métier exercé (Menu unique) :"/>
        <filter val="Raison Sociale / Nom du Client :"/>
      </filters>
    </filterColumn>
    <filterColumn colId="1" showButton="0"/>
    <filterColumn colId="2" showButton="0"/>
    <filterColumn colId="3" showButton="0"/>
  </autoFilter>
  <mergeCells count="9">
    <mergeCell ref="C55:D55"/>
    <mergeCell ref="A23:E23"/>
    <mergeCell ref="A55:B55"/>
    <mergeCell ref="A53:E53"/>
    <mergeCell ref="A4:E4"/>
    <mergeCell ref="A54:B54"/>
    <mergeCell ref="C54:D54"/>
    <mergeCell ref="D5:E5"/>
    <mergeCell ref="A11:E11"/>
  </mergeCells>
  <dataValidations count="2">
    <dataValidation type="list" sqref="B6" xr:uid="{00000000-0002-0000-0000-000000000000}">
      <formula1>$H$1:$H$27</formula1>
    </dataValidation>
    <dataValidation type="list" sqref="B8" xr:uid="{00000000-0002-0000-0000-000001000000}">
      <formula1>"Oui,Non"</formula1>
    </dataValidation>
  </dataValidations>
  <pageMargins left="0.75" right="0.75" top="1" bottom="1" header="0.5" footer="0.5"/>
  <ignoredErrors>
    <ignoredError sqref="E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Tarificateur Global BTP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GUINARD</cp:lastModifiedBy>
  <dcterms:created xsi:type="dcterms:W3CDTF">2026-10-18T09:17:15Z</dcterms:created>
  <dcterms:modified xsi:type="dcterms:W3CDTF">2026-10-18T09:23:35Z</dcterms:modified>
</cp:coreProperties>
</file>